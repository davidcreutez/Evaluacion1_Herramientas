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avid\Documents\Evaluacion 1 Herramientas\Analysis\"/>
    </mc:Choice>
  </mc:AlternateContent>
  <xr:revisionPtr revIDLastSave="0" documentId="13_ncr:1_{9F9487C0-63B6-4C73-B2D6-E7FF0BDDD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G22" i="1"/>
  <c r="C21" i="1"/>
  <c r="C22" i="1"/>
  <c r="C23" i="1"/>
  <c r="C24" i="1"/>
  <c r="C25" i="1"/>
  <c r="C26" i="1"/>
  <c r="C27" i="1"/>
  <c r="C28" i="1"/>
  <c r="C20" i="1"/>
  <c r="B21" i="1"/>
  <c r="B43" i="1" s="1"/>
  <c r="D43" i="1" s="1"/>
  <c r="B22" i="1"/>
  <c r="B44" i="1" s="1"/>
  <c r="D44" i="1" s="1"/>
  <c r="B23" i="1"/>
  <c r="B45" i="1" s="1"/>
  <c r="D45" i="1" s="1"/>
  <c r="B58" i="1" s="1"/>
  <c r="B24" i="1"/>
  <c r="B46" i="1" s="1"/>
  <c r="D46" i="1" s="1"/>
  <c r="B25" i="1"/>
  <c r="B47" i="1" s="1"/>
  <c r="D47" i="1" s="1"/>
  <c r="B26" i="1"/>
  <c r="B48" i="1" s="1"/>
  <c r="D48" i="1" s="1"/>
  <c r="B27" i="1"/>
  <c r="B49" i="1" s="1"/>
  <c r="D49" i="1" s="1"/>
  <c r="B28" i="1"/>
  <c r="B50" i="1" s="1"/>
  <c r="D50" i="1" s="1"/>
  <c r="B20" i="1"/>
  <c r="B42" i="1" s="1"/>
  <c r="D42" i="1" s="1"/>
  <c r="B57" i="1" l="1"/>
  <c r="B60" i="1"/>
  <c r="B56" i="1"/>
  <c r="B61" i="1"/>
  <c r="B59" i="1"/>
  <c r="B62" i="1"/>
  <c r="B63" i="1"/>
</calcChain>
</file>

<file path=xl/sharedStrings.xml><?xml version="1.0" encoding="utf-8"?>
<sst xmlns="http://schemas.openxmlformats.org/spreadsheetml/2006/main" count="36" uniqueCount="25">
  <si>
    <t>Carga [KN]</t>
  </si>
  <si>
    <t>Deflexion [mm]</t>
  </si>
  <si>
    <t xml:space="preserve">Datos geometricos </t>
  </si>
  <si>
    <t>Luz entre apoyos (L)</t>
  </si>
  <si>
    <t xml:space="preserve">Ancho de la seccion transversal (b) </t>
  </si>
  <si>
    <t>Altura de la seccion transversal  (h)</t>
  </si>
  <si>
    <t>Modulo de elasticidad (E)</t>
  </si>
  <si>
    <t>[m]</t>
  </si>
  <si>
    <t>[GPa]</t>
  </si>
  <si>
    <t>Carga - deformación</t>
  </si>
  <si>
    <t>Carga [N]</t>
  </si>
  <si>
    <t>Deflexion [m]</t>
  </si>
  <si>
    <t>[Pa]</t>
  </si>
  <si>
    <t xml:space="preserve">Recopilación de datos </t>
  </si>
  <si>
    <t xml:space="preserve">Transformación de unidades </t>
  </si>
  <si>
    <t xml:space="preserve">Calculo de defleccion teorica de Euler-Bernoulli </t>
  </si>
  <si>
    <t>Carga (P) [N]</t>
  </si>
  <si>
    <t>Delta_teo [m]</t>
  </si>
  <si>
    <t>Segundo momento de área</t>
  </si>
  <si>
    <t>[m^4]</t>
  </si>
  <si>
    <t>Cálculo segundo momento de área</t>
  </si>
  <si>
    <t>I = (b*(h)^3)/12</t>
  </si>
  <si>
    <t>Delta_teo = (P*(L^3))/(48*E*I)</t>
  </si>
  <si>
    <t>(|delta_medida-delta_Teo| / delta_teo ) * 100</t>
  </si>
  <si>
    <t>Diferencia relativa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</si>
</sst>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3"/>
  <sheetViews>
    <sheetView tabSelected="1" topLeftCell="A43" zoomScale="104" workbookViewId="0">
      <selection activeCell="D56" sqref="D56"/>
    </sheetView>
  </sheetViews>
  <sheetFormatPr baseColWidth="10" defaultColWidth="8.88671875" defaultRowHeight="14.4" x14ac:dyDescent="0.3"/>
  <cols>
    <col min="2" max="2" width="24.88671875" customWidth="1"/>
    <col min="3" max="3" width="23.21875" customWidth="1"/>
    <col min="5" max="5" width="30" bestFit="1" customWidth="1"/>
    <col min="7" max="7" width="12" bestFit="1" customWidth="1"/>
  </cols>
  <sheetData>
    <row r="2" spans="2:7" x14ac:dyDescent="0.3">
      <c r="B2" s="16" t="s">
        <v>13</v>
      </c>
      <c r="C2" s="16"/>
      <c r="D2" s="16"/>
      <c r="E2" s="16"/>
      <c r="F2" s="16"/>
      <c r="G2" s="16"/>
    </row>
    <row r="4" spans="2:7" x14ac:dyDescent="0.3">
      <c r="B4" s="15" t="s">
        <v>9</v>
      </c>
      <c r="C4" s="15"/>
      <c r="E4" s="15" t="s">
        <v>2</v>
      </c>
      <c r="F4" s="15"/>
      <c r="G4" s="15"/>
    </row>
    <row r="5" spans="2:7" x14ac:dyDescent="0.3">
      <c r="B5" s="1" t="s">
        <v>0</v>
      </c>
      <c r="C5" s="1" t="s">
        <v>1</v>
      </c>
      <c r="E5" s="2" t="s">
        <v>3</v>
      </c>
      <c r="F5" s="3" t="s">
        <v>7</v>
      </c>
      <c r="G5" s="4">
        <v>4</v>
      </c>
    </row>
    <row r="6" spans="2:7" x14ac:dyDescent="0.3">
      <c r="B6" s="3">
        <v>0</v>
      </c>
      <c r="C6" s="3">
        <v>0</v>
      </c>
      <c r="E6" s="2" t="s">
        <v>4</v>
      </c>
      <c r="F6" s="3" t="s">
        <v>7</v>
      </c>
      <c r="G6" s="4">
        <v>0.2</v>
      </c>
    </row>
    <row r="7" spans="2:7" x14ac:dyDescent="0.3">
      <c r="B7" s="3">
        <v>5</v>
      </c>
      <c r="C7" s="3">
        <v>0.26</v>
      </c>
      <c r="E7" s="2" t="s">
        <v>5</v>
      </c>
      <c r="F7" s="3" t="s">
        <v>7</v>
      </c>
      <c r="G7" s="4">
        <v>0.4</v>
      </c>
    </row>
    <row r="8" spans="2:7" x14ac:dyDescent="0.3">
      <c r="B8" s="3">
        <v>10</v>
      </c>
      <c r="C8" s="3">
        <v>0.5</v>
      </c>
      <c r="E8" s="2" t="s">
        <v>6</v>
      </c>
      <c r="F8" s="3" t="s">
        <v>8</v>
      </c>
      <c r="G8" s="4">
        <v>25</v>
      </c>
    </row>
    <row r="9" spans="2:7" x14ac:dyDescent="0.3">
      <c r="B9" s="3">
        <v>15</v>
      </c>
      <c r="C9" s="3">
        <v>0.76</v>
      </c>
    </row>
    <row r="10" spans="2:7" x14ac:dyDescent="0.3">
      <c r="B10" s="3">
        <v>20</v>
      </c>
      <c r="C10" s="3">
        <v>1.01</v>
      </c>
    </row>
    <row r="11" spans="2:7" x14ac:dyDescent="0.3">
      <c r="B11" s="3">
        <v>25</v>
      </c>
      <c r="C11" s="3">
        <v>1.28</v>
      </c>
    </row>
    <row r="12" spans="2:7" x14ac:dyDescent="0.3">
      <c r="B12" s="3">
        <v>30</v>
      </c>
      <c r="C12" s="3">
        <v>1.54</v>
      </c>
    </row>
    <row r="13" spans="2:7" x14ac:dyDescent="0.3">
      <c r="B13" s="3">
        <v>35</v>
      </c>
      <c r="C13" s="3">
        <v>1.77</v>
      </c>
    </row>
    <row r="14" spans="2:7" x14ac:dyDescent="0.3">
      <c r="B14" s="3">
        <v>40</v>
      </c>
      <c r="C14" s="3">
        <v>2.0499999999999998</v>
      </c>
    </row>
    <row r="16" spans="2:7" x14ac:dyDescent="0.3">
      <c r="B16" s="14" t="s">
        <v>14</v>
      </c>
      <c r="C16" s="14"/>
      <c r="D16" s="14"/>
      <c r="E16" s="14"/>
      <c r="F16" s="14"/>
      <c r="G16" s="14"/>
    </row>
    <row r="18" spans="2:10" x14ac:dyDescent="0.3">
      <c r="B18" s="14" t="s">
        <v>9</v>
      </c>
      <c r="C18" s="14"/>
      <c r="E18" s="14" t="s">
        <v>2</v>
      </c>
      <c r="F18" s="14"/>
      <c r="G18" s="14"/>
      <c r="J18" s="6"/>
    </row>
    <row r="19" spans="2:10" x14ac:dyDescent="0.3">
      <c r="B19" s="5" t="s">
        <v>10</v>
      </c>
      <c r="C19" s="5" t="s">
        <v>11</v>
      </c>
      <c r="E19" s="2" t="s">
        <v>3</v>
      </c>
      <c r="F19" s="3" t="s">
        <v>7</v>
      </c>
      <c r="G19" s="4">
        <v>4</v>
      </c>
    </row>
    <row r="20" spans="2:10" x14ac:dyDescent="0.3">
      <c r="B20" s="3">
        <f t="shared" ref="B20:B28" si="0">B6*1000</f>
        <v>0</v>
      </c>
      <c r="C20" s="3">
        <f t="shared" ref="C20:C28" si="1">C6/1000</f>
        <v>0</v>
      </c>
      <c r="E20" s="2" t="s">
        <v>4</v>
      </c>
      <c r="F20" s="3" t="s">
        <v>7</v>
      </c>
      <c r="G20" s="4">
        <v>0.2</v>
      </c>
    </row>
    <row r="21" spans="2:10" x14ac:dyDescent="0.3">
      <c r="B21" s="3">
        <f t="shared" si="0"/>
        <v>5000</v>
      </c>
      <c r="C21" s="7">
        <f t="shared" si="1"/>
        <v>2.6000000000000003E-4</v>
      </c>
      <c r="E21" s="2" t="s">
        <v>5</v>
      </c>
      <c r="F21" s="3" t="s">
        <v>7</v>
      </c>
      <c r="G21" s="4">
        <v>0.4</v>
      </c>
    </row>
    <row r="22" spans="2:10" x14ac:dyDescent="0.3">
      <c r="B22" s="3">
        <f t="shared" si="0"/>
        <v>10000</v>
      </c>
      <c r="C22" s="3">
        <f t="shared" si="1"/>
        <v>5.0000000000000001E-4</v>
      </c>
      <c r="E22" s="2" t="s">
        <v>6</v>
      </c>
      <c r="F22" s="3" t="s">
        <v>12</v>
      </c>
      <c r="G22" s="4">
        <f>G8*10^9</f>
        <v>25000000000</v>
      </c>
    </row>
    <row r="23" spans="2:10" x14ac:dyDescent="0.3">
      <c r="B23" s="3">
        <f t="shared" si="0"/>
        <v>15000</v>
      </c>
      <c r="C23" s="3">
        <f t="shared" si="1"/>
        <v>7.6000000000000004E-4</v>
      </c>
    </row>
    <row r="24" spans="2:10" x14ac:dyDescent="0.3">
      <c r="B24" s="3">
        <f t="shared" si="0"/>
        <v>20000</v>
      </c>
      <c r="C24" s="3">
        <f t="shared" si="1"/>
        <v>1.01E-3</v>
      </c>
    </row>
    <row r="25" spans="2:10" x14ac:dyDescent="0.3">
      <c r="B25" s="3">
        <f t="shared" si="0"/>
        <v>25000</v>
      </c>
      <c r="C25" s="3">
        <f t="shared" si="1"/>
        <v>1.2800000000000001E-3</v>
      </c>
    </row>
    <row r="26" spans="2:10" x14ac:dyDescent="0.3">
      <c r="B26" s="3">
        <f t="shared" si="0"/>
        <v>30000</v>
      </c>
      <c r="C26" s="3">
        <f t="shared" si="1"/>
        <v>1.5400000000000001E-3</v>
      </c>
    </row>
    <row r="27" spans="2:10" x14ac:dyDescent="0.3">
      <c r="B27" s="3">
        <f t="shared" si="0"/>
        <v>35000</v>
      </c>
      <c r="C27" s="3">
        <f t="shared" si="1"/>
        <v>1.7700000000000001E-3</v>
      </c>
    </row>
    <row r="28" spans="2:10" x14ac:dyDescent="0.3">
      <c r="B28" s="3">
        <f t="shared" si="0"/>
        <v>40000</v>
      </c>
      <c r="C28" s="3">
        <f t="shared" si="1"/>
        <v>2.0499999999999997E-3</v>
      </c>
    </row>
    <row r="31" spans="2:10" x14ac:dyDescent="0.3">
      <c r="B31" s="11" t="s">
        <v>20</v>
      </c>
      <c r="C31" s="11"/>
      <c r="D31" s="11"/>
      <c r="E31" s="11"/>
    </row>
    <row r="32" spans="2:10" x14ac:dyDescent="0.3">
      <c r="B32" s="11" t="s">
        <v>21</v>
      </c>
      <c r="C32" s="11"/>
      <c r="D32" s="11"/>
      <c r="E32" s="11"/>
    </row>
    <row r="33" spans="2:5" x14ac:dyDescent="0.3">
      <c r="B33" s="12" t="s">
        <v>18</v>
      </c>
      <c r="C33" s="13"/>
      <c r="D33" s="3" t="s">
        <v>19</v>
      </c>
      <c r="E33" s="4">
        <f>(G20*(G21)^3)/12</f>
        <v>1.0666666666666669E-3</v>
      </c>
    </row>
    <row r="39" spans="2:5" x14ac:dyDescent="0.3">
      <c r="B39" s="10" t="s">
        <v>15</v>
      </c>
      <c r="C39" s="10"/>
      <c r="D39" s="10"/>
      <c r="E39" s="10"/>
    </row>
    <row r="40" spans="2:5" x14ac:dyDescent="0.3">
      <c r="B40" s="10" t="s">
        <v>22</v>
      </c>
      <c r="C40" s="10"/>
      <c r="D40" s="10"/>
      <c r="E40" s="10"/>
    </row>
    <row r="41" spans="2:5" x14ac:dyDescent="0.3">
      <c r="B41" s="9" t="s">
        <v>16</v>
      </c>
      <c r="C41" s="9"/>
      <c r="D41" s="9" t="s">
        <v>17</v>
      </c>
      <c r="E41" s="9"/>
    </row>
    <row r="42" spans="2:5" x14ac:dyDescent="0.3">
      <c r="B42" s="9">
        <f t="shared" ref="B42:B50" si="2">B20</f>
        <v>0</v>
      </c>
      <c r="C42" s="9"/>
      <c r="D42" s="9">
        <f>B42*(($G$19)^3)/48*$E$33*$G$22</f>
        <v>0</v>
      </c>
      <c r="E42" s="9"/>
    </row>
    <row r="43" spans="2:5" x14ac:dyDescent="0.3">
      <c r="B43" s="9">
        <f t="shared" si="2"/>
        <v>5000</v>
      </c>
      <c r="C43" s="9"/>
      <c r="D43" s="8">
        <f>B43*(($G$19)^3)/(48*$E$33*$G$22)</f>
        <v>2.4999999999999995E-4</v>
      </c>
      <c r="E43" s="8"/>
    </row>
    <row r="44" spans="2:5" x14ac:dyDescent="0.3">
      <c r="B44" s="9">
        <f t="shared" si="2"/>
        <v>10000</v>
      </c>
      <c r="C44" s="9"/>
      <c r="D44" s="8">
        <f t="shared" ref="D44:D50" si="3">B44*(($G$19)^3)/(48*$E$33*$G$22)</f>
        <v>4.999999999999999E-4</v>
      </c>
      <c r="E44" s="8"/>
    </row>
    <row r="45" spans="2:5" x14ac:dyDescent="0.3">
      <c r="B45" s="9">
        <f t="shared" si="2"/>
        <v>15000</v>
      </c>
      <c r="C45" s="9"/>
      <c r="D45" s="8">
        <f t="shared" si="3"/>
        <v>7.4999999999999991E-4</v>
      </c>
      <c r="E45" s="8"/>
    </row>
    <row r="46" spans="2:5" x14ac:dyDescent="0.3">
      <c r="B46" s="9">
        <f t="shared" si="2"/>
        <v>20000</v>
      </c>
      <c r="C46" s="9"/>
      <c r="D46" s="8">
        <f t="shared" si="3"/>
        <v>9.999999999999998E-4</v>
      </c>
      <c r="E46" s="8"/>
    </row>
    <row r="47" spans="2:5" x14ac:dyDescent="0.3">
      <c r="B47" s="9">
        <f t="shared" si="2"/>
        <v>25000</v>
      </c>
      <c r="C47" s="9"/>
      <c r="D47" s="8">
        <f t="shared" si="3"/>
        <v>1.2499999999999998E-3</v>
      </c>
      <c r="E47" s="8"/>
    </row>
    <row r="48" spans="2:5" x14ac:dyDescent="0.3">
      <c r="B48" s="9">
        <f t="shared" si="2"/>
        <v>30000</v>
      </c>
      <c r="C48" s="9"/>
      <c r="D48" s="8">
        <f t="shared" si="3"/>
        <v>1.4999999999999998E-3</v>
      </c>
      <c r="E48" s="8"/>
    </row>
    <row r="49" spans="2:9" x14ac:dyDescent="0.3">
      <c r="B49" s="9">
        <f t="shared" si="2"/>
        <v>35000</v>
      </c>
      <c r="C49" s="9"/>
      <c r="D49" s="8">
        <f t="shared" si="3"/>
        <v>1.7499999999999996E-3</v>
      </c>
      <c r="E49" s="8"/>
    </row>
    <row r="50" spans="2:9" x14ac:dyDescent="0.3">
      <c r="B50" s="9">
        <f t="shared" si="2"/>
        <v>40000</v>
      </c>
      <c r="C50" s="9"/>
      <c r="D50" s="8">
        <f t="shared" si="3"/>
        <v>1.9999999999999996E-3</v>
      </c>
      <c r="E50" s="8"/>
    </row>
    <row r="52" spans="2:9" x14ac:dyDescent="0.3">
      <c r="I52" s="6"/>
    </row>
    <row r="53" spans="2:9" x14ac:dyDescent="0.3">
      <c r="B53" s="10" t="s">
        <v>24</v>
      </c>
      <c r="C53" s="10"/>
    </row>
    <row r="54" spans="2:9" x14ac:dyDescent="0.3">
      <c r="B54" s="10" t="s">
        <v>23</v>
      </c>
      <c r="C54" s="10"/>
    </row>
    <row r="55" spans="2:9" x14ac:dyDescent="0.3">
      <c r="B55" s="17">
        <v>0</v>
      </c>
      <c r="C55" s="17"/>
    </row>
    <row r="56" spans="2:9" x14ac:dyDescent="0.3">
      <c r="B56" s="17">
        <f>(C21-D43)/D43</f>
        <v>4.0000000000000327E-2</v>
      </c>
      <c r="C56" s="17"/>
    </row>
    <row r="57" spans="2:9" x14ac:dyDescent="0.3">
      <c r="B57" s="17">
        <f>(C22-D44)/D44</f>
        <v>2.1684043449710094E-16</v>
      </c>
      <c r="C57" s="17"/>
    </row>
    <row r="58" spans="2:9" x14ac:dyDescent="0.3">
      <c r="B58" s="17">
        <f>(C23-D45)/D45</f>
        <v>1.3333333333333515E-2</v>
      </c>
      <c r="C58" s="17"/>
    </row>
    <row r="59" spans="2:9" x14ac:dyDescent="0.3">
      <c r="B59" s="17">
        <f>(C24-D46)/D46</f>
        <v>1.0000000000000245E-2</v>
      </c>
      <c r="C59" s="17"/>
    </row>
    <row r="60" spans="2:9" x14ac:dyDescent="0.3">
      <c r="B60" s="17">
        <f>(C25-D47)/D47</f>
        <v>2.400000000000024E-2</v>
      </c>
      <c r="C60" s="17"/>
    </row>
    <row r="61" spans="2:9" x14ac:dyDescent="0.3">
      <c r="B61" s="17">
        <f>(C26-D48)/D48</f>
        <v>2.6666666666666883E-2</v>
      </c>
      <c r="C61" s="17"/>
    </row>
    <row r="62" spans="2:9" x14ac:dyDescent="0.3">
      <c r="B62" s="17">
        <f>(C27-D49)/D49</f>
        <v>1.142857142857171E-2</v>
      </c>
      <c r="C62" s="17"/>
    </row>
    <row r="63" spans="2:9" x14ac:dyDescent="0.3">
      <c r="B63" s="17">
        <f>(C28-D50)/D50</f>
        <v>2.5000000000000071E-2</v>
      </c>
      <c r="C63" s="17"/>
    </row>
  </sheetData>
  <mergeCells count="42">
    <mergeCell ref="B54:C54"/>
    <mergeCell ref="B55:C55"/>
    <mergeCell ref="B56:C56"/>
    <mergeCell ref="B57:C57"/>
    <mergeCell ref="B63:C63"/>
    <mergeCell ref="B58:C58"/>
    <mergeCell ref="B59:C59"/>
    <mergeCell ref="B60:C60"/>
    <mergeCell ref="B61:C61"/>
    <mergeCell ref="B62:C62"/>
    <mergeCell ref="B53:C53"/>
    <mergeCell ref="B18:C18"/>
    <mergeCell ref="B16:G16"/>
    <mergeCell ref="E18:G18"/>
    <mergeCell ref="E4:G4"/>
    <mergeCell ref="B2:G2"/>
    <mergeCell ref="B4:C4"/>
    <mergeCell ref="B40:E40"/>
    <mergeCell ref="B39:E39"/>
    <mergeCell ref="B32:E32"/>
    <mergeCell ref="B31:E31"/>
    <mergeCell ref="B33:C33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creutez</dc:creator>
  <cp:lastModifiedBy>david creutez</cp:lastModifiedBy>
  <dcterms:created xsi:type="dcterms:W3CDTF">2015-06-05T18:19:34Z</dcterms:created>
  <dcterms:modified xsi:type="dcterms:W3CDTF">2026-10-02T03:53:53Z</dcterms:modified>
</cp:coreProperties>
</file>